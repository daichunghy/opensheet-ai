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ventory Revenu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<sst xmlns="http://schemas.openxmlformats.org/spreadsheetml/2006/main" count="64" uniqueCount="34">
  <si>
    <t xml:space="preserve">Inventory &amp; revenue control sheet</t>
  </si>
  <si>
    <t xml:space="preserve">Illustrative data only. Edit the Actual, Target and Warn below columns; Gap and Status recalculate from formulas.</t>
  </si>
  <si>
    <t xml:space="preserve">Open first</t>
  </si>
  <si>
    <t xml:space="preserve">Inventory Revenue</t>
  </si>
  <si>
    <t xml:space="preserve">Purpose</t>
  </si>
  <si>
    <t xml:space="preserve">Spot stock, revenue and fulfilment exceptions quickly.</t>
  </si>
  <si>
    <t xml:space="preserve">Status logic</t>
  </si>
  <si>
    <t xml:space="preserve">met = at/above target; watch = above warning floor; below = below warning floor.</t>
  </si>
  <si>
    <t xml:space="preserve">Workbook source</t>
  </si>
  <si>
    <t xml:space="preserve">retail-ops-demo</t>
  </si>
  <si>
    <t xml:space="preserve">Safety boundary</t>
  </si>
  <si>
    <t xml:space="preserve">No live store, ERP or payment data is connected.</t>
  </si>
  <si>
    <t xml:space="preserve">Inventory &amp; revenue — daily control</t>
  </si>
  <si>
    <t xml:space="preserve">Edit the input columns in blue. Formula columns are Gap and Status.</t>
  </si>
  <si>
    <t xml:space="preserve">KPI Code</t>
  </si>
  <si>
    <t xml:space="preserve">KPI</t>
  </si>
  <si>
    <t xml:space="preserve">Actual</t>
  </si>
  <si>
    <t xml:space="preserve">Target</t>
  </si>
  <si>
    <t xml:space="preserve">Warn below</t>
  </si>
  <si>
    <t xml:space="preserve">Gap</t>
  </si>
  <si>
    <t xml:space="preserve">Status</t>
  </si>
  <si>
    <t xml:space="preserve">Unit</t>
  </si>
  <si>
    <t xml:space="preserve">ON_HAND_UNITS</t>
  </si>
  <si>
    <t xml:space="preserve">Sellable units on hand</t>
  </si>
  <si>
    <t xml:space="preserve">units</t>
  </si>
  <si>
    <t xml:space="preserve">DAILY_REVENUE</t>
  </si>
  <si>
    <t xml:space="preserve">Daily revenue</t>
  </si>
  <si>
    <t xml:space="preserve">VND/day</t>
  </si>
  <si>
    <t xml:space="preserve">FULFILLED_ORDERS</t>
  </si>
  <si>
    <t xml:space="preserve">Orders fulfilled today</t>
  </si>
  <si>
    <t xml:space="preserve">orders</t>
  </si>
  <si>
    <t xml:space="preserve">GROSS_MARGIN</t>
  </si>
  <si>
    <t xml:space="preserve">Gross margin</t>
  </si>
  <si>
    <t xml:space="preserve">share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</si>
</sst>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5F7182"/>
      <name val="Calibri"/>
      <family val="0"/>
      <charset val="1"/>
    </font>
    <font>
      <b val="true"/>
      <sz val="11"/>
      <color rgb="FF17324D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3F7FA"/>
        <bgColor rgb="FFF0F7FF"/>
      </patternFill>
    </fill>
    <fill>
      <patternFill patternType="solid">
        <fgColor rgb="FFFFF7E0"/>
        <bgColor rgb="FFF3F7FA"/>
      </patternFill>
    </fill>
    <fill>
      <patternFill patternType="solid">
        <fgColor rgb="FFE6F4F1"/>
        <bgColor rgb="FFDDF5E7"/>
      </patternFill>
    </fill>
    <fill>
      <patternFill patternType="solid">
        <fgColor rgb="FFF0F7FF"/>
        <bgColor rgb="FFF3F7FA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>
        <color rgb="FFD8E2EA"/>
      </right>
      <top/>
      <bottom style="thin">
        <color rgb="FFD8E2EA"/>
      </bottom>
      <diagonal/>
    </border>
    <border diagonalUp="false" diagonalDown="false">
      <left style="thin">
        <color rgb="FFD8E2EA"/>
      </left>
      <right/>
      <top/>
      <bottom style="thin">
        <color rgb="FFD8E2EA"/>
      </bottom>
      <diagonal/>
    </border>
    <border diagonalUp="false" diagonalDown="false">
      <left/>
      <right style="thin">
        <color rgb="FFD8E2EA"/>
      </right>
      <top style="thin">
        <color rgb="FFD8E2EA"/>
      </top>
      <bottom style="thin">
        <color rgb="FFD8E2EA"/>
      </bottom>
      <diagonal/>
    </border>
    <border diagonalUp="false" diagonalDown="false">
      <left style="thin">
        <color rgb="FFD8E2EA"/>
      </left>
      <right/>
      <top style="thin">
        <color rgb="FFD8E2EA"/>
      </top>
      <bottom style="thin">
        <color rgb="FFD8E2EA"/>
      </bottom>
      <diagonal/>
    </border>
    <border diagonalUp="false" diagonalDown="false">
      <left/>
      <right style="thin">
        <color rgb="FFD8E2EA"/>
      </right>
      <top style="thin">
        <color rgb="FFD8E2EA"/>
      </top>
      <bottom/>
      <diagonal/>
    </border>
    <border diagonalUp="false" diagonalDown="false">
      <left style="thin">
        <color rgb="FFD8E2EA"/>
      </left>
      <right/>
      <top style="thin">
        <color rgb="FFD8E2EA"/>
      </top>
      <bottom/>
      <diagonal/>
    </border>
    <border diagonalUp="false" diagonalDown="false">
      <left style="thin">
        <color rgb="FFD8E2EA"/>
      </left>
      <right style="thin">
        <color rgb="FFD8E2EA"/>
      </right>
      <top style="thin">
        <color rgb="FFD8E2EA"/>
      </top>
      <bottom style="thin">
        <color rgb="FFD8E2EA"/>
      </bottom>
      <diagonal/>
    </border>
    <border diagonalUp="false" diagonalDown="false">
      <left style="thin">
        <color rgb="FFD8E2EA"/>
      </left>
      <right style="thin">
        <color rgb="FFD8E2EA"/>
      </right>
      <top/>
      <bottom style="thin">
        <color rgb="FFD8E2EA"/>
      </bottom>
      <diagonal/>
    </border>
    <border diagonalUp="false" diagonalDown="false">
      <left style="thin">
        <color rgb="FFD8E2EA"/>
      </left>
      <right style="thin">
        <color rgb="FFD8E2EA"/>
      </right>
      <top style="thin">
        <color rgb="FFD8E2E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6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6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4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4">
    <dxf>
      <fill>
        <patternFill patternType="solid">
          <fgColor rgb="FFE6F4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ill>
        <patternFill patternType="solid">
          <fgColor rgb="FFF0F7F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DDF5E7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FF1BF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b val="1"/>
        <color rgb="FF991B1B"/>
      </font>
      <fill>
        <patternFill>
          <bgColor rgb="FFFDE2E2"/>
        </patternFill>
      </fill>
    </dxf>
    <dxf>
      <font>
        <b val="1"/>
        <color rgb="FF8A5A00"/>
      </font>
      <fill>
        <patternFill>
          <bgColor rgb="FFFFF1BF"/>
        </patternFill>
      </fill>
    </dxf>
    <dxf>
      <font>
        <b val="1"/>
        <color rgb="FF166534"/>
      </font>
      <fill>
        <patternFill>
          <bgColor rgb="FFDDF5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A5A00"/>
      <rgbColor rgb="FF800080"/>
      <rgbColor rgb="FF0F766E"/>
      <rgbColor rgb="FFF3F7FA"/>
      <rgbColor rgb="FF808080"/>
      <rgbColor rgb="FF9999FF"/>
      <rgbColor rgb="FF993366"/>
      <rgbColor rgb="FFFFF7E0"/>
      <rgbColor rgb="FFDDF5E7"/>
      <rgbColor rgb="FF660066"/>
      <rgbColor rgb="FFFF8080"/>
      <rgbColor rgb="FF0066CC"/>
      <rgbColor rgb="FFD8E2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F1"/>
      <rgbColor rgb="FFF0F7FF"/>
      <rgbColor rgb="FFFFF1BF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F7182"/>
      <rgbColor rgb="FF969696"/>
      <rgbColor rgb="FF17324D"/>
      <rgbColor rgb="FF339966"/>
      <rgbColor rgb="FF003300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entoryRevenueTable" displayName="InventoryRevenueTable" ref="A4:H8" headerRowCount="1" totalsRowCount="0" totalsRowShown="0">
  <tableColumns count="8">
    <tableColumn id="1" name="KPI Code"/>
    <tableColumn id="2" name="KPI"/>
    <tableColumn id="3" name="Actual"/>
    <tableColumn id="4" name="Target"/>
    <tableColumn id="5" name="Warn below"/>
    <tableColumn id="6" name="Gap"/>
    <tableColumn id="7" name="Status"/>
    <tableColumn id="8" name="Uni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</cols>
  <sheetData>
    <row r="1" customFormat="false" ht="30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customFormat="false" ht="34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3" customFormat="false" ht="34" hidden="false" customHeight="true" outlineLevel="0" collapsed="false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5" t="s">
        <v>6</v>
      </c>
      <c r="B7" s="6" t="s">
        <v>7</v>
      </c>
    </row>
    <row r="8" customFormat="false" ht="15" hidden="false" customHeight="false" outlineLevel="0" collapsed="false">
      <c r="A8" s="5" t="s">
        <v>8</v>
      </c>
      <c r="B8" s="6" t="s">
        <v>9</v>
      </c>
    </row>
    <row r="9" customFormat="false" ht="15" hidden="false" customHeight="false" outlineLevel="0" collapsed="false">
      <c r="A9" s="7" t="s">
        <v>10</v>
      </c>
      <c r="B9" s="8" t="s">
        <v>11</v>
      </c>
    </row>
  </sheetData>
  <mergeCells count="2">
    <mergeCell ref="A1:F1"/>
    <mergeCell ref="A2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12</v>
      </c>
      <c r="B1" s="1" t="s">
        <v>12</v>
      </c>
      <c r="C1" s="1" t="s">
        <v>12</v>
      </c>
      <c r="D1" s="1" t="s">
        <v>12</v>
      </c>
      <c r="E1" s="1" t="s">
        <v>12</v>
      </c>
      <c r="F1" s="1" t="s">
        <v>12</v>
      </c>
      <c r="G1" s="1" t="s">
        <v>12</v>
      </c>
      <c r="H1" s="1" t="s">
        <v>12</v>
      </c>
    </row>
    <row r="2" customFormat="false" ht="34" hidden="false" customHeight="true" outlineLevel="0" collapsed="false">
      <c r="A2" s="2" t="s">
        <v>13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</row>
    <row r="4" customFormat="false" ht="28" hidden="false" customHeight="true" outlineLevel="0" collapsed="false">
      <c r="A4" s="9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</row>
    <row r="5" customFormat="false" ht="15" hidden="false" customHeight="false" outlineLevel="0" collapsed="false">
      <c r="A5" s="10" t="s">
        <v>22</v>
      </c>
      <c r="B5" s="11" t="s">
        <v>23</v>
      </c>
      <c r="C5" s="12" t="n">
        <v>184</v>
      </c>
      <c r="D5" s="12" t="n">
        <v>250</v>
      </c>
      <c r="E5" s="12" t="n">
        <v>200</v>
      </c>
      <c r="F5" s="13" t="n">
        <f aca="false">C5-D5</f>
        <v>-66</v>
      </c>
      <c r="G5" s="14" t="str">
        <f aca="false">IF(C5&gt;=D5,"met",IF(AND(E5&lt;&gt;"",C5&gt;=E5),"watch","below"))</f>
        <v>below</v>
      </c>
      <c r="H5" s="15" t="s">
        <v>24</v>
      </c>
    </row>
    <row r="6" customFormat="false" ht="15" hidden="false" customHeight="false" outlineLevel="0" collapsed="false">
      <c r="A6" s="16" t="s">
        <v>25</v>
      </c>
      <c r="B6" s="17" t="s">
        <v>26</v>
      </c>
      <c r="C6" s="18" t="n">
        <v>48200000</v>
      </c>
      <c r="D6" s="18" t="n">
        <v>50000000</v>
      </c>
      <c r="E6" s="18" t="n">
        <v>45000000</v>
      </c>
      <c r="F6" s="19" t="n">
        <f aca="false">C6-D6</f>
        <v>-1800000</v>
      </c>
      <c r="G6" s="20" t="str">
        <f aca="false">IF(C6&gt;=D6,"met",IF(AND(E6&lt;&gt;"",C6&gt;=E6),"watch","below"))</f>
        <v>watch</v>
      </c>
      <c r="H6" s="21" t="s">
        <v>27</v>
      </c>
    </row>
    <row r="7" customFormat="false" ht="15" hidden="false" customHeight="false" outlineLevel="0" collapsed="false">
      <c r="A7" s="16" t="s">
        <v>28</v>
      </c>
      <c r="B7" s="17" t="s">
        <v>29</v>
      </c>
      <c r="C7" s="18" t="n">
        <v>93</v>
      </c>
      <c r="D7" s="18" t="n">
        <v>100</v>
      </c>
      <c r="E7" s="18" t="n">
        <v>85</v>
      </c>
      <c r="F7" s="19" t="n">
        <f aca="false">C7-D7</f>
        <v>-7</v>
      </c>
      <c r="G7" s="20" t="str">
        <f aca="false">IF(C7&gt;=D7,"met",IF(AND(E7&lt;&gt;"",C7&gt;=E7),"watch","below"))</f>
        <v>watch</v>
      </c>
      <c r="H7" s="21" t="s">
        <v>30</v>
      </c>
    </row>
    <row r="8" customFormat="false" ht="15" hidden="false" customHeight="false" outlineLevel="0" collapsed="false">
      <c r="A8" s="22" t="s">
        <v>31</v>
      </c>
      <c r="B8" s="23" t="s">
        <v>32</v>
      </c>
      <c r="C8" s="24" t="n">
        <v>0.32</v>
      </c>
      <c r="D8" s="24" t="n">
        <v>0.3</v>
      </c>
      <c r="E8" s="24"/>
      <c r="F8" s="25" t="n">
        <f aca="false">C8-D8</f>
        <v>0.02</v>
      </c>
      <c r="G8" s="26" t="str">
        <f aca="false">IF(C8&gt;=D8,"met",IF(AND(E8&lt;&gt;"",C8&gt;=E8),"watch","below"))</f>
        <v>met</v>
      </c>
      <c r="H8" s="27" t="s">
        <v>33</v>
      </c>
    </row>
  </sheetData>
  <mergeCells count="2">
    <mergeCell ref="A1:H1"/>
    <mergeCell ref="A2:H2"/>
  </mergeCells>
  <conditionalFormatting sqref="G5:G8">
    <cfRule type="containsText" priority="2" operator="containsText" aboveAverage="0" equalAverage="0" bottom="0" percent="0" rank="0" text="below" dxfId="11">
      <formula>NOT(ISERROR(SEARCH("below",G5)))</formula>
    </cfRule>
    <cfRule type="containsText" priority="3" operator="containsText" aboveAverage="0" equalAverage="0" bottom="0" percent="0" rank="0" text="watch" dxfId="12">
      <formula>NOT(ISERROR(SEARCH("watch",G5)))</formula>
    </cfRule>
    <cfRule type="containsText" priority="4" operator="containsText" aboveAverage="0" equalAverage="0" bottom="0" percent="0" rank="0" text="met" dxfId="13">
      <formula>NOT(ISERROR(SEARCH("met",G5)))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